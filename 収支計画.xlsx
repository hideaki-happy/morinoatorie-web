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収支計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40916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color rgb="002d6a4f"/>
      </font>
    </dxf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森のアトリエ 月次収支計画（2026年4月〜2027年3月）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月</t>
        </is>
      </c>
      <c r="B2" s="3" t="inlineStr">
        <is>
          <t>売上（円）</t>
        </is>
      </c>
      <c r="C2" s="3" t="inlineStr">
        <is>
          <t>経費合計（円）</t>
        </is>
      </c>
      <c r="D2" s="3" t="inlineStr">
        <is>
          <t>AIツール代（円）</t>
        </is>
      </c>
      <c r="E2" s="3" t="inlineStr">
        <is>
          <t>広告費（円）</t>
        </is>
      </c>
      <c r="F2" s="3" t="inlineStr">
        <is>
          <t>印刷・発送費（円）</t>
        </is>
      </c>
      <c r="G2" s="3" t="inlineStr">
        <is>
          <t>その他経費（円）</t>
        </is>
      </c>
      <c r="H2" s="3" t="inlineStr">
        <is>
          <t>利益（円）</t>
        </is>
      </c>
    </row>
    <row r="3">
      <c r="A3" s="4" t="inlineStr">
        <is>
          <t>2026年4月</t>
        </is>
      </c>
      <c r="B3" s="5" t="n">
        <v>38000</v>
      </c>
      <c r="C3" s="5">
        <f>D3+E3+F3+G3</f>
        <v/>
      </c>
      <c r="D3" s="5" t="n">
        <v>3000</v>
      </c>
      <c r="E3" s="5" t="n">
        <v>5000</v>
      </c>
      <c r="F3" s="5" t="n">
        <v>3800</v>
      </c>
      <c r="G3" s="5" t="n">
        <v>2000</v>
      </c>
      <c r="H3" s="5">
        <f>B3-C3</f>
        <v/>
      </c>
    </row>
    <row r="4">
      <c r="A4" s="4" t="inlineStr">
        <is>
          <t>2026年5月</t>
        </is>
      </c>
      <c r="B4" s="5" t="n">
        <v>42000</v>
      </c>
      <c r="C4" s="5">
        <f>D4+E4+F4+G4</f>
        <v/>
      </c>
      <c r="D4" s="5" t="n">
        <v>3000</v>
      </c>
      <c r="E4" s="5" t="n">
        <v>6000</v>
      </c>
      <c r="F4" s="5" t="n">
        <v>4200</v>
      </c>
      <c r="G4" s="5" t="n">
        <v>2000</v>
      </c>
      <c r="H4" s="5">
        <f>B4-C4</f>
        <v/>
      </c>
    </row>
    <row r="5">
      <c r="A5" s="4" t="inlineStr">
        <is>
          <t>2026年6月</t>
        </is>
      </c>
      <c r="B5" s="5" t="n">
        <v>45000</v>
      </c>
      <c r="C5" s="5">
        <f>D5+E5+F5+G5</f>
        <v/>
      </c>
      <c r="D5" s="5" t="n">
        <v>3000</v>
      </c>
      <c r="E5" s="5" t="n">
        <v>7000</v>
      </c>
      <c r="F5" s="5" t="n">
        <v>4500</v>
      </c>
      <c r="G5" s="5" t="n">
        <v>2000</v>
      </c>
      <c r="H5" s="5">
        <f>B5-C5</f>
        <v/>
      </c>
    </row>
    <row r="6">
      <c r="A6" s="4" t="inlineStr">
        <is>
          <t>2026年7月</t>
        </is>
      </c>
      <c r="B6" s="5" t="n">
        <v>52000</v>
      </c>
      <c r="C6" s="5">
        <f>D6+E6+F6+G6</f>
        <v/>
      </c>
      <c r="D6" s="5" t="n">
        <v>3000</v>
      </c>
      <c r="E6" s="5" t="n">
        <v>8000</v>
      </c>
      <c r="F6" s="5" t="n">
        <v>5200</v>
      </c>
      <c r="G6" s="5" t="n">
        <v>2000</v>
      </c>
      <c r="H6" s="5">
        <f>B6-C6</f>
        <v/>
      </c>
    </row>
    <row r="7">
      <c r="A7" s="4" t="inlineStr">
        <is>
          <t>2026年8月</t>
        </is>
      </c>
      <c r="B7" s="5" t="n">
        <v>58000</v>
      </c>
      <c r="C7" s="5">
        <f>D7+E7+F7+G7</f>
        <v/>
      </c>
      <c r="D7" s="5" t="n">
        <v>3000</v>
      </c>
      <c r="E7" s="5" t="n">
        <v>9000</v>
      </c>
      <c r="F7" s="5" t="n">
        <v>5800</v>
      </c>
      <c r="G7" s="5" t="n">
        <v>2000</v>
      </c>
      <c r="H7" s="5">
        <f>B7-C7</f>
        <v/>
      </c>
    </row>
    <row r="8">
      <c r="A8" s="4" t="inlineStr">
        <is>
          <t>2026年9月</t>
        </is>
      </c>
      <c r="B8" s="5" t="n">
        <v>61000</v>
      </c>
      <c r="C8" s="5">
        <f>D8+E8+F8+G8</f>
        <v/>
      </c>
      <c r="D8" s="5" t="n">
        <v>3000</v>
      </c>
      <c r="E8" s="5" t="n">
        <v>10000</v>
      </c>
      <c r="F8" s="5" t="n">
        <v>6100</v>
      </c>
      <c r="G8" s="5" t="n">
        <v>2000</v>
      </c>
      <c r="H8" s="5">
        <f>B8-C8</f>
        <v/>
      </c>
    </row>
    <row r="9">
      <c r="A9" s="4" t="inlineStr">
        <is>
          <t>2026年10月</t>
        </is>
      </c>
      <c r="B9" s="5" t="n">
        <v>65000</v>
      </c>
      <c r="C9" s="5">
        <f>D9+E9+F9+G9</f>
        <v/>
      </c>
      <c r="D9" s="5" t="n">
        <v>3000</v>
      </c>
      <c r="E9" s="5" t="n">
        <v>11000</v>
      </c>
      <c r="F9" s="5" t="n">
        <v>6500</v>
      </c>
      <c r="G9" s="5" t="n">
        <v>2000</v>
      </c>
      <c r="H9" s="5">
        <f>B9-C9</f>
        <v/>
      </c>
    </row>
    <row r="10">
      <c r="A10" s="4" t="inlineStr">
        <is>
          <t>2026年11月</t>
        </is>
      </c>
      <c r="B10" s="5" t="n">
        <v>72000</v>
      </c>
      <c r="C10" s="5">
        <f>D10+E10+F10+G10</f>
        <v/>
      </c>
      <c r="D10" s="5" t="n">
        <v>3000</v>
      </c>
      <c r="E10" s="5" t="n">
        <v>12000</v>
      </c>
      <c r="F10" s="5" t="n">
        <v>7200</v>
      </c>
      <c r="G10" s="5" t="n">
        <v>2000</v>
      </c>
      <c r="H10" s="5">
        <f>B10-C10</f>
        <v/>
      </c>
    </row>
    <row r="11">
      <c r="A11" s="4" t="inlineStr">
        <is>
          <t>2026年12月</t>
        </is>
      </c>
      <c r="B11" s="5" t="n">
        <v>88000</v>
      </c>
      <c r="C11" s="5">
        <f>D11+E11+F11+G11</f>
        <v/>
      </c>
      <c r="D11" s="5" t="n">
        <v>3000</v>
      </c>
      <c r="E11" s="5" t="n">
        <v>15000</v>
      </c>
      <c r="F11" s="5" t="n">
        <v>8800</v>
      </c>
      <c r="G11" s="5" t="n">
        <v>2000</v>
      </c>
      <c r="H11" s="5">
        <f>B11-C11</f>
        <v/>
      </c>
    </row>
    <row r="12">
      <c r="A12" s="4" t="inlineStr">
        <is>
          <t>2027年1月</t>
        </is>
      </c>
      <c r="B12" s="5" t="n">
        <v>55000</v>
      </c>
      <c r="C12" s="5">
        <f>D12+E12+F12+G12</f>
        <v/>
      </c>
      <c r="D12" s="5" t="n">
        <v>3000</v>
      </c>
      <c r="E12" s="5" t="n">
        <v>10000</v>
      </c>
      <c r="F12" s="5" t="n">
        <v>5500</v>
      </c>
      <c r="G12" s="5" t="n">
        <v>2000</v>
      </c>
      <c r="H12" s="5">
        <f>B12-C12</f>
        <v/>
      </c>
    </row>
    <row r="13">
      <c r="A13" s="4" t="inlineStr">
        <is>
          <t>2027年2月</t>
        </is>
      </c>
      <c r="B13" s="5" t="n">
        <v>60000</v>
      </c>
      <c r="C13" s="5">
        <f>D13+E13+F13+G13</f>
        <v/>
      </c>
      <c r="D13" s="5" t="n">
        <v>3000</v>
      </c>
      <c r="E13" s="5" t="n">
        <v>11000</v>
      </c>
      <c r="F13" s="5" t="n">
        <v>6000</v>
      </c>
      <c r="G13" s="5" t="n">
        <v>2000</v>
      </c>
      <c r="H13" s="5">
        <f>B13-C13</f>
        <v/>
      </c>
    </row>
    <row r="14">
      <c r="A14" s="4" t="inlineStr">
        <is>
          <t>2027年3月</t>
        </is>
      </c>
      <c r="B14" s="5" t="n">
        <v>68000</v>
      </c>
      <c r="C14" s="5">
        <f>D14+E14+F14+G14</f>
        <v/>
      </c>
      <c r="D14" s="5" t="n">
        <v>3000</v>
      </c>
      <c r="E14" s="5" t="n">
        <v>12000</v>
      </c>
      <c r="F14" s="5" t="n">
        <v>6800</v>
      </c>
      <c r="G14" s="5" t="n">
        <v>2000</v>
      </c>
      <c r="H14" s="5">
        <f>B14-C14</f>
        <v/>
      </c>
    </row>
    <row r="15">
      <c r="A15" s="6" t="inlineStr">
        <is>
          <t>年間合計</t>
        </is>
      </c>
      <c r="B15" s="7">
        <f>SUM(B3:B14)</f>
        <v/>
      </c>
      <c r="C15" s="7">
        <f>SUM(C3:C14)</f>
        <v/>
      </c>
      <c r="D15" s="7">
        <f>SUM(D3:D14)</f>
        <v/>
      </c>
      <c r="E15" s="7">
        <f>SUM(E3:E14)</f>
        <v/>
      </c>
      <c r="F15" s="7">
        <f>SUM(F3:F14)</f>
        <v/>
      </c>
      <c r="G15" s="7">
        <f>SUM(G3:G14)</f>
        <v/>
      </c>
      <c r="H15" s="7">
        <f>SUM(H3:H14)</f>
        <v/>
      </c>
    </row>
  </sheetData>
  <mergeCells count="1">
    <mergeCell ref="A1:H1"/>
  </mergeCells>
  <conditionalFormatting sqref="H3:H1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2026-04-21T12:02:42Z</dcterms:created>
  <dcterms:modified xmlns:dcterms="http://purl.org/dc/terms/" xmlns:xsi="http://www.w3.org/2001/XMLSchema-instance" xsi:type="dcterms:W3CDTF">2026-04-21T12:02:42Z</dcterms:modified>
</cp:coreProperties>
</file>